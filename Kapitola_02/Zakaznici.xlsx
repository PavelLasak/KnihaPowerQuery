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= Webinare\PQ_1\Power_Query_Data_1_setkani\"/>
    </mc:Choice>
  </mc:AlternateContent>
  <xr:revisionPtr revIDLastSave="0" documentId="13_ncr:1_{E0E2A418-F083-4E5E-A775-354E0B452161}" xr6:coauthVersionLast="47" xr6:coauthVersionMax="47" xr10:uidLastSave="{00000000-0000-0000-0000-000000000000}"/>
  <bookViews>
    <workbookView xWindow="-38510" yWindow="-1900" windowWidth="38620" windowHeight="21100" xr2:uid="{ADD42F68-9921-4358-B885-4EB0CEF4C377}"/>
  </bookViews>
  <sheets>
    <sheet name="Zákaznici_" sheetId="1" r:id="rId1"/>
    <sheet name="Další list viditelný" sheetId="2" r:id="rId2"/>
    <sheet name="Skrytý list" sheetId="3" state="hidden" r:id="rId3"/>
    <sheet name="Super skrytý list" sheetId="4" state="veryHidden" r:id="rId4"/>
  </sheets>
  <definedNames>
    <definedName name="DefinNazevSkrytyList">'Skrytý list'!$B$3</definedName>
    <definedName name="DefinNazevSuperSkrytyList">'Super skrytý list'!$B$3</definedName>
    <definedName name="EUR_CZK">#REF!</definedName>
    <definedName name="Pavel_Lasák">'Další list viditelný'!$C$5</definedName>
    <definedName name="Tabulka_skryty_list" localSheetId="3">'Super skrytý list'!$G$18</definedName>
    <definedName name="Tabulka_skryty_list">'Skrytý list'!$G$18</definedName>
    <definedName name="Tabulka_super_skryty_list">'Super skrytý list'!$G$18</definedName>
    <definedName name="USD_CZK">#REF!</definedName>
  </definedNames>
  <calcPr calcId="191029" iterate="1" iterateCount="32000" iterateDelta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" l="1"/>
  <c r="T16" i="1"/>
  <c r="T17" i="1"/>
  <c r="T18" i="1"/>
  <c r="T19" i="1"/>
  <c r="T20" i="1"/>
  <c r="T21" i="1"/>
  <c r="T14" i="1"/>
  <c r="T9" i="1"/>
  <c r="T5" i="1"/>
  <c r="J17" i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</calcChain>
</file>

<file path=xl/sharedStrings.xml><?xml version="1.0" encoding="utf-8"?>
<sst xmlns="http://schemas.openxmlformats.org/spreadsheetml/2006/main" count="345" uniqueCount="216">
  <si>
    <t>ZakID</t>
  </si>
  <si>
    <t>Prijmeni</t>
  </si>
  <si>
    <t>Adresa</t>
  </si>
  <si>
    <t>Pohlaví</t>
  </si>
  <si>
    <t>Telefon</t>
  </si>
  <si>
    <t>Email</t>
  </si>
  <si>
    <t>DatNarozeni</t>
  </si>
  <si>
    <t>DatumReg</t>
  </si>
  <si>
    <t>Město</t>
  </si>
  <si>
    <t>Ulice</t>
  </si>
  <si>
    <t>Kraj</t>
  </si>
  <si>
    <t>ZmDéla</t>
  </si>
  <si>
    <t>Zm.sírka</t>
  </si>
  <si>
    <t>Poznámka</t>
  </si>
  <si>
    <t>Z1</t>
  </si>
  <si>
    <t>Jan</t>
  </si>
  <si>
    <t>Novák</t>
  </si>
  <si>
    <t>Prague, Czech Republic</t>
  </si>
  <si>
    <t>M</t>
  </si>
  <si>
    <t>Praha</t>
  </si>
  <si>
    <t>Václavká 5</t>
  </si>
  <si>
    <t>Hlavní město Praha</t>
  </si>
  <si>
    <t>Z2</t>
  </si>
  <si>
    <t>Brno, Czech Republic</t>
  </si>
  <si>
    <t>Brno</t>
  </si>
  <si>
    <t>České 8</t>
  </si>
  <si>
    <t>Jihomoravský kraj</t>
  </si>
  <si>
    <t>Z3</t>
  </si>
  <si>
    <t>Jana</t>
  </si>
  <si>
    <t>Nováková</t>
  </si>
  <si>
    <t>F</t>
  </si>
  <si>
    <t>Lipová 10</t>
  </si>
  <si>
    <t>Jihomoravský</t>
  </si>
  <si>
    <t>Z4</t>
  </si>
  <si>
    <t>Petra</t>
  </si>
  <si>
    <t>Svobodová</t>
  </si>
  <si>
    <t>Hl. město Praha</t>
  </si>
  <si>
    <t>Z5</t>
  </si>
  <si>
    <t>Marie</t>
  </si>
  <si>
    <t>Hrdá</t>
  </si>
  <si>
    <t>Ostrava</t>
  </si>
  <si>
    <t>Stodolní 12</t>
  </si>
  <si>
    <t>Moravskoslezský kraj</t>
  </si>
  <si>
    <t>Ostrava, Czech Republic</t>
  </si>
  <si>
    <t>Moravskoslezský</t>
  </si>
  <si>
    <t>Z6</t>
  </si>
  <si>
    <t>Anna</t>
  </si>
  <si>
    <t>Procházková</t>
  </si>
  <si>
    <t>Plzeň</t>
  </si>
  <si>
    <t>Plzeňská 42</t>
  </si>
  <si>
    <t>Plzeňský kraj</t>
  </si>
  <si>
    <t>Olomouc, Czechia</t>
  </si>
  <si>
    <t>Olomoucký</t>
  </si>
  <si>
    <t>Z7</t>
  </si>
  <si>
    <t>Tomáš</t>
  </si>
  <si>
    <t>Dvořák</t>
  </si>
  <si>
    <t>Hradec Králové</t>
  </si>
  <si>
    <t>Královéhradecký kraj</t>
  </si>
  <si>
    <t>Plzeň, Bohemia, Czechia</t>
  </si>
  <si>
    <t>Plzeňský</t>
  </si>
  <si>
    <t>Z8</t>
  </si>
  <si>
    <t>Lucie</t>
  </si>
  <si>
    <t>Králová</t>
  </si>
  <si>
    <t>České Budějovice, Czechia</t>
  </si>
  <si>
    <t>Jihočeský</t>
  </si>
  <si>
    <t>Z9</t>
  </si>
  <si>
    <t>Karel</t>
  </si>
  <si>
    <t>Havlíček</t>
  </si>
  <si>
    <t>Olomouc</t>
  </si>
  <si>
    <t>Olomoucký kraj</t>
  </si>
  <si>
    <t>Karlovy Vary, Czech Republic</t>
  </si>
  <si>
    <t>Karlovarský</t>
  </si>
  <si>
    <t>Z10</t>
  </si>
  <si>
    <t>Eva</t>
  </si>
  <si>
    <t>Malá</t>
  </si>
  <si>
    <t>České Budějovice</t>
  </si>
  <si>
    <t>Jihočeský kraj</t>
  </si>
  <si>
    <t>Telč, Czechia</t>
  </si>
  <si>
    <t>Vysočina</t>
  </si>
  <si>
    <t>Z11</t>
  </si>
  <si>
    <t>Josef</t>
  </si>
  <si>
    <t>Kupec</t>
  </si>
  <si>
    <t>Zlín</t>
  </si>
  <si>
    <t>Zlínský kraj</t>
  </si>
  <si>
    <t>Kutna Hora, Czechia</t>
  </si>
  <si>
    <t>Středočeský</t>
  </si>
  <si>
    <t>Z12</t>
  </si>
  <si>
    <t>Monika</t>
  </si>
  <si>
    <t>Šťastná</t>
  </si>
  <si>
    <t>Kutná Hora</t>
  </si>
  <si>
    <t>Středočeský kraj</t>
  </si>
  <si>
    <t>Liberec, Czechia</t>
  </si>
  <si>
    <t>Liberecký</t>
  </si>
  <si>
    <t>Z13</t>
  </si>
  <si>
    <t>Alžběta</t>
  </si>
  <si>
    <t>Žlutá</t>
  </si>
  <si>
    <t>Hradec Králové, Czechia</t>
  </si>
  <si>
    <t>Kralovehradecký</t>
  </si>
  <si>
    <t>Z14</t>
  </si>
  <si>
    <t>Zimová</t>
  </si>
  <si>
    <t>Pardubice, Czechia</t>
  </si>
  <si>
    <t>Pardubický</t>
  </si>
  <si>
    <t>Z15</t>
  </si>
  <si>
    <t>Chechtavý</t>
  </si>
  <si>
    <t>Litoměřice, Czechia</t>
  </si>
  <si>
    <t>Ústecký</t>
  </si>
  <si>
    <t>Z16</t>
  </si>
  <si>
    <t>Iva</t>
  </si>
  <si>
    <t>Chcetavá</t>
  </si>
  <si>
    <t>Kroměříž, Czechia</t>
  </si>
  <si>
    <t>Zlínský</t>
  </si>
  <si>
    <t>Z17</t>
  </si>
  <si>
    <t>Roman</t>
  </si>
  <si>
    <t>Černý</t>
  </si>
  <si>
    <t>Brácha s Petr Černý</t>
  </si>
  <si>
    <t>Z18</t>
  </si>
  <si>
    <t>Petr</t>
  </si>
  <si>
    <t>Brácha s Pavel Černý, shoda jmen s jiným Petr Černý</t>
  </si>
  <si>
    <t>Z19</t>
  </si>
  <si>
    <t>Jiný Petr Černý</t>
  </si>
  <si>
    <t>Z20</t>
  </si>
  <si>
    <t>Z21</t>
  </si>
  <si>
    <t>Hodný</t>
  </si>
  <si>
    <t>Karlovarský kraj</t>
  </si>
  <si>
    <t>Z22</t>
  </si>
  <si>
    <t>Luboš</t>
  </si>
  <si>
    <t>Iterový</t>
  </si>
  <si>
    <t>Kraj Vysočina</t>
  </si>
  <si>
    <t>Z23</t>
  </si>
  <si>
    <t>Žan</t>
  </si>
  <si>
    <t>Ženatý</t>
  </si>
  <si>
    <t>Z24</t>
  </si>
  <si>
    <t>Ludmila</t>
  </si>
  <si>
    <t>Berková</t>
  </si>
  <si>
    <t>Liberecký kraj</t>
  </si>
  <si>
    <t>Z25</t>
  </si>
  <si>
    <t>Z26</t>
  </si>
  <si>
    <t>Lenka</t>
  </si>
  <si>
    <t>Stará</t>
  </si>
  <si>
    <t>Pardubický kraj</t>
  </si>
  <si>
    <t>Z27</t>
  </si>
  <si>
    <t>Ústecký kraj</t>
  </si>
  <si>
    <t>Z28</t>
  </si>
  <si>
    <t>Adam</t>
  </si>
  <si>
    <t>Adamec</t>
  </si>
  <si>
    <t>Z29</t>
  </si>
  <si>
    <t>Zz</t>
  </si>
  <si>
    <t>???</t>
  </si>
  <si>
    <t>?</t>
  </si>
  <si>
    <t>Definovaný název ukázka</t>
  </si>
  <si>
    <t>Zakaznici tabulka pro Power Query</t>
  </si>
  <si>
    <t>Jmeno zakazník</t>
  </si>
  <si>
    <t>Chybně přidaný zákazník</t>
  </si>
  <si>
    <t>Pavel Lasak</t>
  </si>
  <si>
    <t>Def název skryty</t>
  </si>
  <si>
    <t>Def název super skryty</t>
  </si>
  <si>
    <t>tuto tabulku bude potřeba upravit</t>
  </si>
  <si>
    <t>email001@example.com</t>
  </si>
  <si>
    <t>email010@example.com</t>
  </si>
  <si>
    <t>email012@example.com</t>
  </si>
  <si>
    <t>email005@example.com</t>
  </si>
  <si>
    <t>email022@example.com</t>
  </si>
  <si>
    <t>email021@example.com</t>
  </si>
  <si>
    <t>email002@example.com</t>
  </si>
  <si>
    <t>email011@example.com</t>
  </si>
  <si>
    <t>email009@example.com</t>
  </si>
  <si>
    <t>email008@example.com</t>
  </si>
  <si>
    <t>email003@example.com</t>
  </si>
  <si>
    <t>email004@example.com</t>
  </si>
  <si>
    <t>email006@example.com</t>
  </si>
  <si>
    <t>email007@example.com</t>
  </si>
  <si>
    <t>email013@example.com</t>
  </si>
  <si>
    <t>email014@example.com</t>
  </si>
  <si>
    <t>email015@example.com</t>
  </si>
  <si>
    <t>email016@example.com</t>
  </si>
  <si>
    <t>email017@example.com</t>
  </si>
  <si>
    <t>email018@example.com</t>
  </si>
  <si>
    <t>email019@example.com</t>
  </si>
  <si>
    <t>email020@example.com</t>
  </si>
  <si>
    <t>email023@example.com</t>
  </si>
  <si>
    <t>email024@example.com</t>
  </si>
  <si>
    <t>email025@example.com</t>
  </si>
  <si>
    <t>email026@example.com</t>
  </si>
  <si>
    <t>email027@example.com</t>
  </si>
  <si>
    <t>email028@example.com</t>
  </si>
  <si>
    <t>Přestupný rok narození</t>
  </si>
  <si>
    <t>Narozen poslední den v roce</t>
  </si>
  <si>
    <t>PlzeŇ</t>
  </si>
  <si>
    <t>Telč</t>
  </si>
  <si>
    <t>Kutna Hora</t>
  </si>
  <si>
    <t>Liberec</t>
  </si>
  <si>
    <t>Pardubice</t>
  </si>
  <si>
    <t>Litoměřice</t>
  </si>
  <si>
    <t>Kroměříž</t>
  </si>
  <si>
    <t>HRADEC Kralové</t>
  </si>
  <si>
    <t>Karlovy VARY</t>
  </si>
  <si>
    <t>Číslo_1</t>
  </si>
  <si>
    <t>Číslo_2</t>
  </si>
  <si>
    <t xml:space="preserve">Pavel  </t>
  </si>
  <si>
    <t xml:space="preserve">Lasák </t>
  </si>
  <si>
    <t>titul</t>
  </si>
  <si>
    <t>Ing.</t>
  </si>
  <si>
    <t>Mgr.</t>
  </si>
  <si>
    <t>Bc.</t>
  </si>
  <si>
    <t>sto</t>
  </si>
  <si>
    <t>dvě sto</t>
  </si>
  <si>
    <t>STOVKA</t>
  </si>
  <si>
    <t>most</t>
  </si>
  <si>
    <t>dvě stovky korun</t>
  </si>
  <si>
    <t>Text</t>
  </si>
  <si>
    <t>mostovka</t>
  </si>
  <si>
    <t>město</t>
  </si>
  <si>
    <t>tobě sto</t>
  </si>
  <si>
    <t>mě sto</t>
  </si>
  <si>
    <t>mně sto</t>
  </si>
  <si>
    <t>Ostatní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</si>
</sst>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3" fillId="0" borderId="0" xfId="1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3" borderId="4" xfId="1" applyFill="1" applyBorder="1" applyAlignment="1">
      <alignment vertical="center" wrapText="1"/>
    </xf>
    <xf numFmtId="0" fontId="3" fillId="3" borderId="5" xfId="1" applyFill="1" applyBorder="1" applyAlignment="1">
      <alignment vertical="center" wrapText="1"/>
    </xf>
    <xf numFmtId="0" fontId="3" fillId="0" borderId="5" xfId="1" applyBorder="1" applyAlignment="1">
      <alignment vertical="center" wrapText="1"/>
    </xf>
    <xf numFmtId="12" fontId="3" fillId="0" borderId="5" xfId="1" applyNumberFormat="1" applyBorder="1" applyAlignment="1">
      <alignment vertical="center" wrapText="1"/>
    </xf>
    <xf numFmtId="14" fontId="3" fillId="0" borderId="5" xfId="1" applyNumberFormat="1" applyBorder="1"/>
    <xf numFmtId="14" fontId="3" fillId="0" borderId="6" xfId="1" applyNumberFormat="1" applyBorder="1"/>
    <xf numFmtId="0" fontId="3" fillId="0" borderId="5" xfId="1" applyBorder="1"/>
    <xf numFmtId="0" fontId="3" fillId="0" borderId="2" xfId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14" fontId="3" fillId="0" borderId="0" xfId="1" applyNumberFormat="1"/>
    <xf numFmtId="14" fontId="5" fillId="0" borderId="0" xfId="1" applyNumberFormat="1" applyFont="1"/>
    <xf numFmtId="0" fontId="3" fillId="0" borderId="7" xfId="1" applyBorder="1" applyAlignment="1">
      <alignment vertical="center" wrapText="1"/>
    </xf>
    <xf numFmtId="0" fontId="3" fillId="0" borderId="8" xfId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5" fillId="0" borderId="0" xfId="1" applyFont="1"/>
    <xf numFmtId="0" fontId="1" fillId="0" borderId="5" xfId="1" applyFont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5" fillId="0" borderId="5" xfId="1" applyFont="1" applyBorder="1"/>
    <xf numFmtId="0" fontId="6" fillId="0" borderId="5" xfId="1" applyFont="1" applyBorder="1" applyAlignment="1">
      <alignment vertical="center" wrapText="1"/>
    </xf>
    <xf numFmtId="0" fontId="0" fillId="0" borderId="5" xfId="0" applyBorder="1"/>
    <xf numFmtId="0" fontId="7" fillId="2" borderId="2" xfId="1" applyFont="1" applyFill="1" applyBorder="1" applyAlignment="1">
      <alignment horizontal="center" vertical="center" wrapText="1"/>
    </xf>
    <xf numFmtId="0" fontId="3" fillId="0" borderId="5" xfId="1" applyFill="1" applyBorder="1" applyAlignment="1">
      <alignment vertical="center" wrapText="1"/>
    </xf>
    <xf numFmtId="0" fontId="3" fillId="0" borderId="2" xfId="1" applyFill="1" applyBorder="1" applyAlignment="1">
      <alignment vertical="center" wrapText="1"/>
    </xf>
    <xf numFmtId="0" fontId="3" fillId="0" borderId="8" xfId="1" applyFill="1" applyBorder="1" applyAlignment="1">
      <alignment vertical="center" wrapText="1"/>
    </xf>
  </cellXfs>
  <cellStyles count="2">
    <cellStyle name="Normální" xfId="0" builtinId="0"/>
    <cellStyle name="Normální 2" xfId="1" xr:uid="{1E0D8681-CE78-4907-8629-6CB08323F33D}"/>
  </cellStyles>
  <dxfs count="41"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5AB45-9FD7-40A6-9158-DA0651CE6171}" name="Zakaznici" displayName="Zakaznici" ref="A4:T33" totalsRowShown="0" headerRowDxfId="40" dataDxfId="38" headerRowBorderDxfId="39" tableBorderDxfId="37" totalsRowBorderDxfId="36" headerRowCellStyle="Normální 2" dataCellStyle="Normální 2">
  <tableColumns count="20">
    <tableColumn id="1" xr3:uid="{6BA0CF0A-FE8D-4BDB-9038-CCA6A8C3BFC1}" name="ZakID" dataDxfId="35" dataCellStyle="Normální 2"/>
    <tableColumn id="18" xr3:uid="{2C06D3B0-8E05-49D8-BFF1-C84986275780}" name="titul" dataDxfId="34" dataCellStyle="Normální 2"/>
    <tableColumn id="2" xr3:uid="{3F2807E5-C3B5-42F2-87DA-F50D12CF8EC2}" name="Jmeno zakazník" dataDxfId="33" dataCellStyle="Normální 2"/>
    <tableColumn id="3" xr3:uid="{F438268C-6F62-4284-92F7-158793D37892}" name="Prijmeni" dataDxfId="32" dataCellStyle="Normální 2"/>
    <tableColumn id="4" xr3:uid="{44FE05AB-0480-4E1A-A8A3-A79D90C9E0AB}" name="Adresa" dataDxfId="31" dataCellStyle="Normální 2"/>
    <tableColumn id="10" xr3:uid="{9CA9E956-5162-4EE8-93F6-844D8ED62DA4}" name="Pohlaví" dataDxfId="30" dataCellStyle="Normální 2"/>
    <tableColumn id="5" xr3:uid="{C562ACD0-6B10-401A-9D4A-1974732A9277}" name="Telefon" dataDxfId="29" dataCellStyle="Normální 2"/>
    <tableColumn id="6" xr3:uid="{47E8EE57-599C-45AB-9976-6D6C66D9FDA2}" name="Email" dataDxfId="28" dataCellStyle="Normální 2"/>
    <tableColumn id="7" xr3:uid="{DC818348-B46B-428D-9070-4B62CF5AF514}" name="DatNarozeni" dataDxfId="27" dataCellStyle="Normální 2"/>
    <tableColumn id="8" xr3:uid="{10DA73A9-ADCB-42D0-AA74-FC20FF1AF262}" name="DatumReg" dataDxfId="26" dataCellStyle="Normální 2"/>
    <tableColumn id="9" xr3:uid="{B2540172-B6E4-49B9-AB9A-94D04A02446D}" name="Město" dataDxfId="25" dataCellStyle="Normální 2"/>
    <tableColumn id="16" xr3:uid="{B035C460-2FC0-441F-B7C7-35DB3606B20C}" name="Ulice" dataDxfId="24" dataCellStyle="Normální 2"/>
    <tableColumn id="11" xr3:uid="{93A08917-A2F2-4589-A25F-DAB465510D8D}" name="Kraj" dataDxfId="23" dataCellStyle="Normální 2"/>
    <tableColumn id="13" xr3:uid="{5D748FBD-8559-4817-9A7E-4A3E04C79524}" name="ZmDéla" dataDxfId="22" dataCellStyle="Normální 2"/>
    <tableColumn id="14" xr3:uid="{CC33E3E3-7938-4DAE-8AFA-EAA3E2739D19}" name="Zm.sírka" dataDxfId="21" dataCellStyle="Normální 2"/>
    <tableColumn id="12" xr3:uid="{862470CA-7B58-4197-93E7-D03336A281F9}" name="Poznámka" dataDxfId="20" dataCellStyle="Normální 2"/>
    <tableColumn id="15" xr3:uid="{2006CF5D-B03F-4B1B-9CF6-E4FA9336696A}" name="Číslo_1" dataDxfId="19" dataCellStyle="Normální 2"/>
    <tableColumn id="17" xr3:uid="{851BB524-391A-4776-8F21-FBD7FEF3B6DE}" name="Číslo_2" dataDxfId="18" dataCellStyle="Normální 2"/>
    <tableColumn id="19" xr3:uid="{5366DFAE-BED8-4657-A162-70DBC500FACC}" name="Text" dataDxfId="17" dataCellStyle="Normální 2"/>
    <tableColumn id="20" xr3:uid="{4298D5F2-E2AA-4009-AC69-5790AF9703AA}" name="Ostatní" dataDxfId="0" dataCellStyle="Normální 2">
      <calculatedColumnFormula>1/0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C0EC2F-B3EA-4BE3-B5D6-44CDD9F604F3}" name="TabulkaSkrytyList" displayName="TabulkaSkrytyList" ref="B9:E23" totalsRowShown="0" headerRowDxfId="16" dataDxfId="14" headerRowBorderDxfId="15" tableBorderDxfId="13" headerRowCellStyle="Normální 2" dataCellStyle="Normální 2">
  <autoFilter ref="B9:E23" xr:uid="{14C0EC2F-B3EA-4BE3-B5D6-44CDD9F604F3}"/>
  <tableColumns count="4">
    <tableColumn id="1" xr3:uid="{F9DFCD5F-2FCB-4960-82C6-3B5529D27AA6}" name="Město" dataDxfId="12" dataCellStyle="Normální 2"/>
    <tableColumn id="2" xr3:uid="{501BA138-6589-4A9F-80EA-E1ACF0CF1016}" name="Kraj" dataDxfId="11" dataCellStyle="Normální 2"/>
    <tableColumn id="3" xr3:uid="{5AC2AB83-5E47-4B36-BF53-46046F9C5D4B}" name="ZmDéla" dataDxfId="10" dataCellStyle="Normální 2"/>
    <tableColumn id="4" xr3:uid="{57C3ADB6-DCED-44EA-B492-8C859BCFEB90}" name="Zm.sírka" dataDxfId="9" dataCellStyle="Normální 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786720-7D1B-4EE2-BDA0-FBC47AEF7FE2}" name="TabulkaSuperSkrytyList" displayName="TabulkaSuperSkrytyList" ref="B9:E23" totalsRowShown="0" headerRowDxfId="8" dataDxfId="6" headerRowBorderDxfId="7" tableBorderDxfId="5" headerRowCellStyle="Normální 2" dataCellStyle="Normální 2">
  <autoFilter ref="B9:E23" xr:uid="{14C0EC2F-B3EA-4BE3-B5D6-44CDD9F604F3}"/>
  <tableColumns count="4">
    <tableColumn id="1" xr3:uid="{DBEB1BC3-B72C-4F97-A4C3-79D31A2A6531}" name="Město" dataDxfId="4" dataCellStyle="Normální 2"/>
    <tableColumn id="2" xr3:uid="{BF25951C-76FE-4F30-B7AA-118B873A427C}" name="Kraj" dataDxfId="3" dataCellStyle="Normální 2"/>
    <tableColumn id="3" xr3:uid="{E125540C-38BE-4665-BEE3-C8428F823AA4}" name="ZmDéla" dataDxfId="2" dataCellStyle="Normální 2"/>
    <tableColumn id="4" xr3:uid="{29C46609-BA5C-4852-A12A-AF09A03EEA49}" name="Zm.sírka" dataDxfId="1" dataCellStyle="Normální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1670-73DD-4D93-84F9-01801B02F56D}">
  <sheetPr codeName="List1"/>
  <dimension ref="A1:T36"/>
  <sheetViews>
    <sheetView showGridLines="0" tabSelected="1" topLeftCell="A3" workbookViewId="0">
      <selection activeCell="T14" sqref="T14:T21"/>
    </sheetView>
  </sheetViews>
  <sheetFormatPr defaultRowHeight="15" x14ac:dyDescent="0.25"/>
  <cols>
    <col min="1" max="2" width="5.875" style="1" customWidth="1"/>
    <col min="3" max="3" width="15.625" style="1" customWidth="1"/>
    <col min="4" max="4" width="10.5" style="1" bestFit="1" customWidth="1"/>
    <col min="5" max="5" width="23.375" style="1" bestFit="1" customWidth="1"/>
    <col min="6" max="6" width="6.625" style="1" bestFit="1" customWidth="1"/>
    <col min="7" max="7" width="13.25" style="1" customWidth="1"/>
    <col min="8" max="8" width="21.5" style="1" customWidth="1"/>
    <col min="9" max="9" width="10.5" style="1" bestFit="1" customWidth="1"/>
    <col min="10" max="10" width="10.125" style="1" customWidth="1"/>
    <col min="11" max="11" width="14.625" style="1" bestFit="1" customWidth="1"/>
    <col min="12" max="12" width="10.75" style="1" customWidth="1"/>
    <col min="13" max="13" width="18.25" style="1" bestFit="1" customWidth="1"/>
    <col min="14" max="14" width="10.875" style="1" customWidth="1"/>
    <col min="15" max="15" width="8.75" style="1" bestFit="1" customWidth="1"/>
    <col min="16" max="16" width="42.375" style="1" customWidth="1"/>
    <col min="17" max="17" width="15" style="1" customWidth="1"/>
    <col min="18" max="18" width="13.625" style="1" customWidth="1"/>
    <col min="19" max="19" width="14.625" style="1" customWidth="1"/>
    <col min="20" max="20" width="14.25" style="1" bestFit="1" customWidth="1"/>
    <col min="21" max="16384" width="9" style="1"/>
  </cols>
  <sheetData>
    <row r="1" spans="1:20" x14ac:dyDescent="0.25">
      <c r="A1" s="1" t="s">
        <v>150</v>
      </c>
    </row>
    <row r="2" spans="1:20" x14ac:dyDescent="0.25">
      <c r="A2" s="1" t="s">
        <v>156</v>
      </c>
    </row>
    <row r="4" spans="1:20" ht="19.5" customHeight="1" x14ac:dyDescent="0.25">
      <c r="A4" s="2" t="s">
        <v>0</v>
      </c>
      <c r="B4" s="2" t="s">
        <v>200</v>
      </c>
      <c r="C4" s="3" t="s">
        <v>151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4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196</v>
      </c>
      <c r="R4" s="3" t="s">
        <v>197</v>
      </c>
      <c r="S4" s="3" t="s">
        <v>209</v>
      </c>
      <c r="T4" s="3" t="s">
        <v>215</v>
      </c>
    </row>
    <row r="5" spans="1:20" ht="15.75" x14ac:dyDescent="0.25">
      <c r="A5" s="5" t="s">
        <v>14</v>
      </c>
      <c r="B5" s="5" t="s">
        <v>203</v>
      </c>
      <c r="C5" s="6" t="s">
        <v>15</v>
      </c>
      <c r="D5" s="7" t="s">
        <v>16</v>
      </c>
      <c r="E5" s="7" t="s">
        <v>17</v>
      </c>
      <c r="F5" s="7" t="s">
        <v>18</v>
      </c>
      <c r="G5" s="8">
        <v>420123456789</v>
      </c>
      <c r="H5" s="1" t="s">
        <v>157</v>
      </c>
      <c r="I5" s="9">
        <v>33693</v>
      </c>
      <c r="J5" s="10">
        <v>43831</v>
      </c>
      <c r="K5" s="7" t="s">
        <v>19</v>
      </c>
      <c r="L5" s="7" t="s">
        <v>20</v>
      </c>
      <c r="M5" t="s">
        <v>21</v>
      </c>
      <c r="N5" s="11">
        <v>50.073658000000002</v>
      </c>
      <c r="O5" s="11">
        <v>14.41854</v>
      </c>
      <c r="P5" s="12"/>
      <c r="Q5" s="7">
        <v>1</v>
      </c>
      <c r="R5" s="7">
        <v>0</v>
      </c>
      <c r="S5" s="7" t="s">
        <v>204</v>
      </c>
      <c r="T5" s="27" t="e">
        <f t="shared" ref="T5" si="0">1/0</f>
        <v>#DIV/0!</v>
      </c>
    </row>
    <row r="6" spans="1:20" ht="15.75" x14ac:dyDescent="0.25">
      <c r="A6" s="13" t="s">
        <v>22</v>
      </c>
      <c r="B6" s="13"/>
      <c r="C6" s="7" t="s">
        <v>198</v>
      </c>
      <c r="D6" s="7" t="s">
        <v>199</v>
      </c>
      <c r="E6" s="7" t="s">
        <v>23</v>
      </c>
      <c r="F6" s="7" t="s">
        <v>18</v>
      </c>
      <c r="G6" s="8">
        <v>420222333444</v>
      </c>
      <c r="H6" s="1" t="s">
        <v>163</v>
      </c>
      <c r="I6" s="9">
        <v>28242</v>
      </c>
      <c r="J6" s="10">
        <v>44326</v>
      </c>
      <c r="K6" s="7" t="s">
        <v>24</v>
      </c>
      <c r="L6" s="7" t="s">
        <v>25</v>
      </c>
      <c r="M6" t="s">
        <v>26</v>
      </c>
      <c r="N6" s="11">
        <v>49.195061000000003</v>
      </c>
      <c r="O6" s="11">
        <v>16.606836000000001</v>
      </c>
      <c r="P6" s="7"/>
      <c r="Q6" s="7">
        <v>0</v>
      </c>
      <c r="R6" s="7">
        <v>0</v>
      </c>
      <c r="S6" s="7" t="s">
        <v>205</v>
      </c>
      <c r="T6" s="26"/>
    </row>
    <row r="7" spans="1:20" ht="15.75" x14ac:dyDescent="0.25">
      <c r="A7" s="13" t="s">
        <v>27</v>
      </c>
      <c r="B7" s="13" t="s">
        <v>201</v>
      </c>
      <c r="C7" s="7" t="s">
        <v>28</v>
      </c>
      <c r="D7" s="7" t="s">
        <v>29</v>
      </c>
      <c r="E7" s="7" t="s">
        <v>17</v>
      </c>
      <c r="F7" s="7" t="s">
        <v>30</v>
      </c>
      <c r="G7" s="8">
        <v>420123456789</v>
      </c>
      <c r="H7" s="1" t="s">
        <v>167</v>
      </c>
      <c r="I7" s="9">
        <v>32874</v>
      </c>
      <c r="J7" s="10">
        <v>44237</v>
      </c>
      <c r="K7" s="7" t="s">
        <v>19</v>
      </c>
      <c r="L7" s="7" t="s">
        <v>31</v>
      </c>
      <c r="M7" t="s">
        <v>21</v>
      </c>
      <c r="N7" s="11">
        <v>50.073658000000002</v>
      </c>
      <c r="O7" s="11">
        <v>14.41854</v>
      </c>
      <c r="P7" s="7"/>
      <c r="Q7" s="7">
        <v>-1</v>
      </c>
      <c r="R7" s="7">
        <v>0</v>
      </c>
      <c r="S7" s="7" t="s">
        <v>206</v>
      </c>
      <c r="T7" s="26"/>
    </row>
    <row r="8" spans="1:20" ht="15.75" x14ac:dyDescent="0.25">
      <c r="A8" s="13" t="s">
        <v>33</v>
      </c>
      <c r="B8" s="13"/>
      <c r="C8" s="7" t="s">
        <v>34</v>
      </c>
      <c r="D8" s="7" t="s">
        <v>35</v>
      </c>
      <c r="E8" s="7" t="s">
        <v>23</v>
      </c>
      <c r="F8" s="7" t="s">
        <v>30</v>
      </c>
      <c r="G8" s="8">
        <v>420987654321</v>
      </c>
      <c r="H8" s="1" t="s">
        <v>168</v>
      </c>
      <c r="I8" s="9">
        <v>31093</v>
      </c>
      <c r="J8" s="10">
        <v>43997</v>
      </c>
      <c r="K8" s="7" t="s">
        <v>24</v>
      </c>
      <c r="L8" s="7" t="s">
        <v>31</v>
      </c>
      <c r="M8" t="s">
        <v>26</v>
      </c>
      <c r="N8" s="11">
        <v>49.195061000000003</v>
      </c>
      <c r="O8" s="11">
        <v>16.606836000000001</v>
      </c>
      <c r="P8" s="7"/>
      <c r="Q8" s="7">
        <v>3</v>
      </c>
      <c r="R8" s="7">
        <v>9</v>
      </c>
      <c r="S8" s="7" t="s">
        <v>207</v>
      </c>
      <c r="T8" s="26"/>
    </row>
    <row r="9" spans="1:20" ht="15.75" x14ac:dyDescent="0.25">
      <c r="A9" s="13" t="s">
        <v>37</v>
      </c>
      <c r="B9" s="13"/>
      <c r="C9" s="7" t="s">
        <v>38</v>
      </c>
      <c r="D9" s="7" t="s">
        <v>39</v>
      </c>
      <c r="E9" s="7" t="s">
        <v>40</v>
      </c>
      <c r="F9" s="7" t="s">
        <v>30</v>
      </c>
      <c r="G9" s="8">
        <v>420111222333</v>
      </c>
      <c r="H9" s="1" t="s">
        <v>160</v>
      </c>
      <c r="I9" s="9">
        <v>33693</v>
      </c>
      <c r="J9" s="10">
        <v>44640</v>
      </c>
      <c r="K9" s="7" t="s">
        <v>40</v>
      </c>
      <c r="L9" s="7" t="s">
        <v>41</v>
      </c>
      <c r="M9" t="s">
        <v>42</v>
      </c>
      <c r="N9" s="11">
        <v>49.820923000000001</v>
      </c>
      <c r="O9" s="11">
        <v>18.262523999999999</v>
      </c>
      <c r="P9" s="7"/>
      <c r="Q9" s="7">
        <v>6</v>
      </c>
      <c r="R9" s="7">
        <v>9</v>
      </c>
      <c r="S9" s="7" t="s">
        <v>208</v>
      </c>
      <c r="T9" s="26" t="e">
        <f>#REF!</f>
        <v>#REF!</v>
      </c>
    </row>
    <row r="10" spans="1:20" ht="15.75" x14ac:dyDescent="0.25">
      <c r="A10" s="13" t="s">
        <v>45</v>
      </c>
      <c r="B10" s="13"/>
      <c r="C10" s="7" t="s">
        <v>46</v>
      </c>
      <c r="D10" s="7" t="s">
        <v>47</v>
      </c>
      <c r="E10" s="7" t="s">
        <v>48</v>
      </c>
      <c r="F10" s="7" t="s">
        <v>30</v>
      </c>
      <c r="G10" s="8">
        <v>420444555666</v>
      </c>
      <c r="H10" s="1" t="s">
        <v>169</v>
      </c>
      <c r="I10" s="9">
        <v>32253</v>
      </c>
      <c r="J10" s="10">
        <v>44931</v>
      </c>
      <c r="K10" s="7" t="s">
        <v>48</v>
      </c>
      <c r="L10" s="7" t="s">
        <v>49</v>
      </c>
      <c r="M10" t="s">
        <v>50</v>
      </c>
      <c r="N10" s="11">
        <v>49.738430000000001</v>
      </c>
      <c r="O10" s="11">
        <v>13.373637</v>
      </c>
      <c r="P10" s="7"/>
      <c r="Q10" s="7">
        <v>2</v>
      </c>
      <c r="R10" s="7">
        <v>5</v>
      </c>
      <c r="S10" s="7" t="s">
        <v>210</v>
      </c>
      <c r="T10" s="26"/>
    </row>
    <row r="11" spans="1:20" ht="15.75" x14ac:dyDescent="0.25">
      <c r="A11" s="13" t="s">
        <v>53</v>
      </c>
      <c r="B11" s="13"/>
      <c r="C11" s="7" t="s">
        <v>54</v>
      </c>
      <c r="D11" s="7" t="s">
        <v>55</v>
      </c>
      <c r="E11" s="7" t="s">
        <v>56</v>
      </c>
      <c r="F11" s="7" t="s">
        <v>18</v>
      </c>
      <c r="G11" s="8">
        <v>420777888999</v>
      </c>
      <c r="H11" s="1" t="s">
        <v>170</v>
      </c>
      <c r="I11" s="9">
        <v>34829</v>
      </c>
      <c r="J11" s="10">
        <v>44451</v>
      </c>
      <c r="K11" s="7" t="s">
        <v>56</v>
      </c>
      <c r="L11" s="7"/>
      <c r="M11" t="s">
        <v>57</v>
      </c>
      <c r="N11" s="22">
        <v>50.192196000000003</v>
      </c>
      <c r="O11" s="22">
        <v>15.585616999999999</v>
      </c>
      <c r="P11" s="7"/>
      <c r="Q11" s="7">
        <v>3</v>
      </c>
      <c r="R11" s="7">
        <v>4</v>
      </c>
      <c r="S11" s="7" t="s">
        <v>211</v>
      </c>
      <c r="T11" s="26"/>
    </row>
    <row r="12" spans="1:20" ht="15.75" x14ac:dyDescent="0.25">
      <c r="A12" s="13" t="s">
        <v>60</v>
      </c>
      <c r="B12" s="13"/>
      <c r="C12" s="7" t="s">
        <v>61</v>
      </c>
      <c r="D12" s="7" t="s">
        <v>62</v>
      </c>
      <c r="E12" s="7" t="s">
        <v>24</v>
      </c>
      <c r="F12" s="7" t="s">
        <v>30</v>
      </c>
      <c r="G12" s="8">
        <v>420999888777</v>
      </c>
      <c r="H12" s="1" t="s">
        <v>166</v>
      </c>
      <c r="I12" s="9">
        <v>34145</v>
      </c>
      <c r="J12" s="10">
        <v>44890</v>
      </c>
      <c r="K12" s="7" t="s">
        <v>24</v>
      </c>
      <c r="L12" s="7"/>
      <c r="M12" t="s">
        <v>26</v>
      </c>
      <c r="N12" s="11">
        <v>49.195061000000003</v>
      </c>
      <c r="O12" s="11">
        <v>16.606836000000001</v>
      </c>
      <c r="P12" s="7"/>
      <c r="Q12" s="7">
        <v>9</v>
      </c>
      <c r="R12" s="7">
        <v>8</v>
      </c>
      <c r="S12" s="7" t="s">
        <v>212</v>
      </c>
      <c r="T12" s="26"/>
    </row>
    <row r="13" spans="1:20" ht="15.75" x14ac:dyDescent="0.25">
      <c r="A13" s="13" t="s">
        <v>65</v>
      </c>
      <c r="B13" s="13" t="s">
        <v>202</v>
      </c>
      <c r="C13" s="7" t="s">
        <v>66</v>
      </c>
      <c r="D13" s="7" t="s">
        <v>67</v>
      </c>
      <c r="E13" s="7" t="s">
        <v>68</v>
      </c>
      <c r="F13" s="7" t="s">
        <v>18</v>
      </c>
      <c r="G13" s="8">
        <v>420666555444</v>
      </c>
      <c r="H13" s="1" t="s">
        <v>165</v>
      </c>
      <c r="I13" s="9">
        <v>31963</v>
      </c>
      <c r="J13" s="10">
        <v>44535</v>
      </c>
      <c r="K13" s="7" t="s">
        <v>68</v>
      </c>
      <c r="L13" s="7"/>
      <c r="M13" t="s">
        <v>69</v>
      </c>
      <c r="N13" s="11">
        <v>49.593777000000003</v>
      </c>
      <c r="O13" s="11">
        <v>17.250879000000001</v>
      </c>
      <c r="P13" s="7"/>
      <c r="Q13" s="7">
        <v>9</v>
      </c>
      <c r="R13" s="7">
        <v>8</v>
      </c>
      <c r="S13" s="7" t="s">
        <v>213</v>
      </c>
      <c r="T13" s="26"/>
    </row>
    <row r="14" spans="1:20" x14ac:dyDescent="0.25">
      <c r="A14" s="16" t="s">
        <v>72</v>
      </c>
      <c r="B14" s="16"/>
      <c r="C14" s="17" t="s">
        <v>73</v>
      </c>
      <c r="D14" s="17" t="s">
        <v>74</v>
      </c>
      <c r="E14" s="17" t="s">
        <v>75</v>
      </c>
      <c r="F14" s="17" t="s">
        <v>30</v>
      </c>
      <c r="G14" s="8">
        <v>420333222111</v>
      </c>
      <c r="H14" s="1" t="s">
        <v>158</v>
      </c>
      <c r="I14" s="9">
        <v>35292</v>
      </c>
      <c r="J14" s="10">
        <v>44061</v>
      </c>
      <c r="K14" s="7" t="s">
        <v>75</v>
      </c>
      <c r="L14" s="7"/>
      <c r="M14" s="7" t="s">
        <v>76</v>
      </c>
      <c r="N14" s="11">
        <v>48.975658000000003</v>
      </c>
      <c r="O14" s="11">
        <v>14.480255</v>
      </c>
      <c r="P14" s="7"/>
      <c r="Q14" s="7">
        <v>5</v>
      </c>
      <c r="R14" s="7">
        <v>9</v>
      </c>
      <c r="S14" s="7" t="s">
        <v>214</v>
      </c>
      <c r="T14" s="26">
        <f ca="1">RANDBETWEEN(1,20)</f>
        <v>20</v>
      </c>
    </row>
    <row r="15" spans="1:20" ht="15.75" x14ac:dyDescent="0.25">
      <c r="A15" s="18" t="s">
        <v>79</v>
      </c>
      <c r="B15" s="18"/>
      <c r="C15" s="7" t="s">
        <v>80</v>
      </c>
      <c r="D15" s="7" t="s">
        <v>81</v>
      </c>
      <c r="E15" s="7" t="s">
        <v>82</v>
      </c>
      <c r="F15" s="7" t="s">
        <v>30</v>
      </c>
      <c r="G15" s="8">
        <v>420888999777</v>
      </c>
      <c r="H15" s="1" t="s">
        <v>164</v>
      </c>
      <c r="I15" s="9">
        <v>32761</v>
      </c>
      <c r="J15" s="10">
        <v>45618</v>
      </c>
      <c r="K15" s="7" t="s">
        <v>82</v>
      </c>
      <c r="L15" s="7"/>
      <c r="M15" t="s">
        <v>83</v>
      </c>
      <c r="N15" s="11">
        <v>49.399337000000003</v>
      </c>
      <c r="O15" s="11">
        <v>17.674121</v>
      </c>
      <c r="P15" s="7"/>
      <c r="Q15" s="7">
        <v>8</v>
      </c>
      <c r="R15" s="7">
        <v>8</v>
      </c>
      <c r="S15" s="7"/>
      <c r="T15" s="26">
        <f t="shared" ref="T15:T21" ca="1" si="1">RANDBETWEEN(1,20)</f>
        <v>19</v>
      </c>
    </row>
    <row r="16" spans="1:20" ht="15.75" x14ac:dyDescent="0.25">
      <c r="A16" s="18" t="s">
        <v>86</v>
      </c>
      <c r="B16" s="18"/>
      <c r="C16" s="7" t="s">
        <v>87</v>
      </c>
      <c r="D16" s="7" t="s">
        <v>88</v>
      </c>
      <c r="E16" s="1" t="s">
        <v>84</v>
      </c>
      <c r="F16" s="7" t="s">
        <v>18</v>
      </c>
      <c r="G16" s="8">
        <v>420123987654</v>
      </c>
      <c r="H16" s="1" t="s">
        <v>159</v>
      </c>
      <c r="I16" s="9">
        <v>33512</v>
      </c>
      <c r="J16" s="10">
        <v>45618</v>
      </c>
      <c r="K16" s="7" t="s">
        <v>89</v>
      </c>
      <c r="L16" s="7"/>
      <c r="M16" t="s">
        <v>90</v>
      </c>
      <c r="N16" s="11">
        <v>49.952430999999997</v>
      </c>
      <c r="O16" s="11">
        <v>15.268654</v>
      </c>
      <c r="P16" s="7"/>
      <c r="Q16" s="7">
        <v>1</v>
      </c>
      <c r="R16" s="7">
        <v>8</v>
      </c>
      <c r="S16" s="7"/>
      <c r="T16" s="26">
        <f t="shared" ca="1" si="1"/>
        <v>15</v>
      </c>
    </row>
    <row r="17" spans="1:20" ht="15.75" x14ac:dyDescent="0.25">
      <c r="A17" s="7" t="s">
        <v>93</v>
      </c>
      <c r="B17" s="7"/>
      <c r="C17" s="11" t="s">
        <v>94</v>
      </c>
      <c r="D17" s="11" t="s">
        <v>95</v>
      </c>
      <c r="E17" s="7" t="s">
        <v>23</v>
      </c>
      <c r="F17" s="7" t="s">
        <v>30</v>
      </c>
      <c r="G17" s="8">
        <v>420123456781</v>
      </c>
      <c r="H17" s="1" t="s">
        <v>171</v>
      </c>
      <c r="I17" s="9">
        <v>43890</v>
      </c>
      <c r="J17" s="9">
        <f>J16+20</f>
        <v>45638</v>
      </c>
      <c r="K17" s="7" t="s">
        <v>24</v>
      </c>
      <c r="L17" s="7"/>
      <c r="M17" t="s">
        <v>26</v>
      </c>
      <c r="N17" s="11">
        <v>49.195061000000003</v>
      </c>
      <c r="O17" s="11">
        <v>16.606836000000001</v>
      </c>
      <c r="P17" s="7" t="s">
        <v>185</v>
      </c>
      <c r="Q17" s="7">
        <v>4</v>
      </c>
      <c r="R17" s="7">
        <v>5</v>
      </c>
      <c r="S17" s="7"/>
      <c r="T17" s="26">
        <f t="shared" ca="1" si="1"/>
        <v>15</v>
      </c>
    </row>
    <row r="18" spans="1:20" ht="15.75" x14ac:dyDescent="0.25">
      <c r="A18" s="7" t="s">
        <v>98</v>
      </c>
      <c r="B18" s="7"/>
      <c r="C18" s="11" t="s">
        <v>94</v>
      </c>
      <c r="D18" s="11" t="s">
        <v>99</v>
      </c>
      <c r="E18" s="7" t="s">
        <v>17</v>
      </c>
      <c r="F18" s="7" t="s">
        <v>30</v>
      </c>
      <c r="G18" s="8">
        <v>420987654322</v>
      </c>
      <c r="H18" s="1" t="s">
        <v>172</v>
      </c>
      <c r="I18" s="9">
        <v>44196</v>
      </c>
      <c r="J18" s="9">
        <f t="shared" ref="J18:J33" si="2">J17+20</f>
        <v>45658</v>
      </c>
      <c r="K18" s="7" t="s">
        <v>19</v>
      </c>
      <c r="L18" s="7"/>
      <c r="M18" t="s">
        <v>21</v>
      </c>
      <c r="N18" s="11">
        <v>50.073658000000002</v>
      </c>
      <c r="O18" s="11">
        <v>14.41854</v>
      </c>
      <c r="P18" s="7" t="s">
        <v>186</v>
      </c>
      <c r="Q18" s="7">
        <v>3</v>
      </c>
      <c r="R18" s="7">
        <v>10</v>
      </c>
      <c r="S18" s="7"/>
      <c r="T18" s="26">
        <f t="shared" ca="1" si="1"/>
        <v>4</v>
      </c>
    </row>
    <row r="19" spans="1:20" ht="15.75" x14ac:dyDescent="0.25">
      <c r="A19" s="7" t="s">
        <v>102</v>
      </c>
      <c r="B19" s="7"/>
      <c r="C19" s="7" t="s">
        <v>15</v>
      </c>
      <c r="D19" s="7" t="s">
        <v>103</v>
      </c>
      <c r="E19" s="7" t="s">
        <v>43</v>
      </c>
      <c r="F19" s="7" t="s">
        <v>18</v>
      </c>
      <c r="G19" s="8">
        <v>420111222334</v>
      </c>
      <c r="H19" s="1" t="s">
        <v>173</v>
      </c>
      <c r="I19" s="9">
        <v>43831</v>
      </c>
      <c r="J19" s="9">
        <f t="shared" si="2"/>
        <v>45678</v>
      </c>
      <c r="K19" s="7" t="s">
        <v>40</v>
      </c>
      <c r="L19" s="7"/>
      <c r="M19" t="s">
        <v>42</v>
      </c>
      <c r="N19" s="11">
        <v>49.820923000000001</v>
      </c>
      <c r="O19" s="11">
        <v>18.262523999999999</v>
      </c>
      <c r="P19" s="7"/>
      <c r="Q19" s="7">
        <v>5</v>
      </c>
      <c r="R19" s="7">
        <v>10</v>
      </c>
      <c r="S19" s="7"/>
      <c r="T19" s="26">
        <f t="shared" ca="1" si="1"/>
        <v>14</v>
      </c>
    </row>
    <row r="20" spans="1:20" ht="15.75" x14ac:dyDescent="0.25">
      <c r="A20" s="7" t="s">
        <v>106</v>
      </c>
      <c r="B20" s="7"/>
      <c r="C20" s="7" t="s">
        <v>107</v>
      </c>
      <c r="D20" s="7" t="s">
        <v>108</v>
      </c>
      <c r="E20" s="7" t="s">
        <v>51</v>
      </c>
      <c r="F20" s="7" t="s">
        <v>30</v>
      </c>
      <c r="G20" s="8">
        <v>420444555667</v>
      </c>
      <c r="H20" s="1" t="s">
        <v>174</v>
      </c>
      <c r="I20" s="9">
        <v>31093</v>
      </c>
      <c r="J20" s="9">
        <f t="shared" si="2"/>
        <v>45698</v>
      </c>
      <c r="K20" s="7" t="s">
        <v>68</v>
      </c>
      <c r="L20" s="7"/>
      <c r="M20" t="s">
        <v>69</v>
      </c>
      <c r="N20" s="11">
        <v>49.593777000000003</v>
      </c>
      <c r="O20" s="11">
        <v>17.250879000000001</v>
      </c>
      <c r="P20" s="7"/>
      <c r="Q20" s="7">
        <v>5</v>
      </c>
      <c r="R20" s="7">
        <v>9</v>
      </c>
      <c r="S20" s="7"/>
      <c r="T20" s="26">
        <f t="shared" ca="1" si="1"/>
        <v>9</v>
      </c>
    </row>
    <row r="21" spans="1:20" ht="15.75" x14ac:dyDescent="0.25">
      <c r="A21" s="7" t="s">
        <v>111</v>
      </c>
      <c r="B21" s="7"/>
      <c r="C21" s="20" t="s">
        <v>112</v>
      </c>
      <c r="D21" s="20" t="s">
        <v>113</v>
      </c>
      <c r="E21" s="7" t="s">
        <v>58</v>
      </c>
      <c r="F21" s="7" t="s">
        <v>18</v>
      </c>
      <c r="G21" s="8">
        <v>420777888997</v>
      </c>
      <c r="H21" s="1" t="s">
        <v>175</v>
      </c>
      <c r="I21" s="9">
        <v>44196</v>
      </c>
      <c r="J21" s="9">
        <f t="shared" si="2"/>
        <v>45718</v>
      </c>
      <c r="K21" s="7" t="s">
        <v>187</v>
      </c>
      <c r="L21" s="7"/>
      <c r="M21" t="s">
        <v>50</v>
      </c>
      <c r="N21" s="11">
        <v>49.738430000000001</v>
      </c>
      <c r="O21" s="11">
        <v>13.373637</v>
      </c>
      <c r="P21" s="7" t="s">
        <v>114</v>
      </c>
      <c r="Q21" s="7">
        <v>4</v>
      </c>
      <c r="R21" s="7">
        <v>2</v>
      </c>
      <c r="S21" s="7"/>
      <c r="T21" s="26">
        <f t="shared" ca="1" si="1"/>
        <v>15</v>
      </c>
    </row>
    <row r="22" spans="1:20" ht="15.75" x14ac:dyDescent="0.25">
      <c r="A22" s="7" t="s">
        <v>115</v>
      </c>
      <c r="B22" s="7"/>
      <c r="C22" s="21" t="s">
        <v>116</v>
      </c>
      <c r="D22" s="21" t="s">
        <v>113</v>
      </c>
      <c r="E22" s="7" t="s">
        <v>58</v>
      </c>
      <c r="F22" s="7" t="s">
        <v>18</v>
      </c>
      <c r="G22" s="8">
        <v>420999888779</v>
      </c>
      <c r="H22" s="1" t="s">
        <v>176</v>
      </c>
      <c r="I22" s="9">
        <v>44196</v>
      </c>
      <c r="J22" s="9">
        <f t="shared" si="2"/>
        <v>45738</v>
      </c>
      <c r="K22" s="7" t="s">
        <v>187</v>
      </c>
      <c r="L22" s="7"/>
      <c r="M22" t="s">
        <v>50</v>
      </c>
      <c r="N22" s="11">
        <v>49.738430000000001</v>
      </c>
      <c r="O22" s="11">
        <v>13.373637</v>
      </c>
      <c r="P22" s="7" t="s">
        <v>117</v>
      </c>
      <c r="Q22" s="7">
        <v>9</v>
      </c>
      <c r="R22" s="7">
        <v>8</v>
      </c>
      <c r="S22" s="7"/>
      <c r="T22" s="26"/>
    </row>
    <row r="23" spans="1:20" ht="15.75" x14ac:dyDescent="0.25">
      <c r="A23" s="7" t="s">
        <v>118</v>
      </c>
      <c r="B23" s="7"/>
      <c r="C23" s="21" t="s">
        <v>116</v>
      </c>
      <c r="D23" s="21" t="s">
        <v>113</v>
      </c>
      <c r="E23" s="7" t="s">
        <v>96</v>
      </c>
      <c r="F23" s="7" t="s">
        <v>18</v>
      </c>
      <c r="G23" s="8">
        <v>420111111111</v>
      </c>
      <c r="H23" s="1" t="s">
        <v>177</v>
      </c>
      <c r="I23" s="9">
        <v>32253</v>
      </c>
      <c r="J23" s="9">
        <f t="shared" si="2"/>
        <v>45758</v>
      </c>
      <c r="K23" s="7" t="s">
        <v>194</v>
      </c>
      <c r="L23" s="7"/>
      <c r="M23" t="s">
        <v>57</v>
      </c>
      <c r="N23" s="22">
        <v>50.192196000000003</v>
      </c>
      <c r="O23" s="22">
        <v>15.585616999999999</v>
      </c>
      <c r="P23" s="7" t="s">
        <v>119</v>
      </c>
      <c r="Q23" s="7">
        <v>10</v>
      </c>
      <c r="R23" s="7">
        <v>7</v>
      </c>
      <c r="S23" s="7"/>
      <c r="T23" s="26"/>
    </row>
    <row r="24" spans="1:20" x14ac:dyDescent="0.25">
      <c r="A24" s="7" t="s">
        <v>120</v>
      </c>
      <c r="B24" s="7"/>
      <c r="C24" s="7" t="s">
        <v>54</v>
      </c>
      <c r="D24" s="7" t="s">
        <v>16</v>
      </c>
      <c r="E24" s="7" t="s">
        <v>63</v>
      </c>
      <c r="F24" s="7" t="s">
        <v>18</v>
      </c>
      <c r="G24" s="8"/>
      <c r="H24" s="1" t="s">
        <v>178</v>
      </c>
      <c r="I24" s="9">
        <v>34829</v>
      </c>
      <c r="J24" s="9">
        <f t="shared" si="2"/>
        <v>45778</v>
      </c>
      <c r="K24" s="7" t="s">
        <v>75</v>
      </c>
      <c r="L24" s="7"/>
      <c r="M24" s="7" t="s">
        <v>76</v>
      </c>
      <c r="N24" s="11">
        <v>48.975658000000003</v>
      </c>
      <c r="O24" s="11">
        <v>14.480255</v>
      </c>
      <c r="P24" s="7"/>
      <c r="Q24" s="7">
        <v>5</v>
      </c>
      <c r="R24" s="7">
        <v>8</v>
      </c>
      <c r="S24" s="7"/>
      <c r="T24" s="26"/>
    </row>
    <row r="25" spans="1:20" ht="15.75" x14ac:dyDescent="0.25">
      <c r="A25" s="7" t="s">
        <v>121</v>
      </c>
      <c r="B25" s="7"/>
      <c r="C25" s="7" t="s">
        <v>66</v>
      </c>
      <c r="D25" s="7" t="s">
        <v>122</v>
      </c>
      <c r="E25" s="7" t="s">
        <v>70</v>
      </c>
      <c r="F25" s="7" t="s">
        <v>18</v>
      </c>
      <c r="G25" s="8">
        <v>420666555441</v>
      </c>
      <c r="H25" s="1" t="s">
        <v>162</v>
      </c>
      <c r="I25" s="9">
        <v>34145</v>
      </c>
      <c r="J25" s="9">
        <f t="shared" si="2"/>
        <v>45798</v>
      </c>
      <c r="K25" s="7" t="s">
        <v>195</v>
      </c>
      <c r="L25" s="7"/>
      <c r="M25" t="s">
        <v>123</v>
      </c>
      <c r="N25" s="11">
        <v>50.231853000000001</v>
      </c>
      <c r="O25" s="11">
        <v>12.871962</v>
      </c>
      <c r="P25" s="7"/>
      <c r="Q25" s="7">
        <v>9</v>
      </c>
      <c r="R25" s="7">
        <v>2</v>
      </c>
      <c r="S25" s="7"/>
      <c r="T25" s="26"/>
    </row>
    <row r="26" spans="1:20" ht="15.75" x14ac:dyDescent="0.25">
      <c r="A26" s="7" t="s">
        <v>124</v>
      </c>
      <c r="B26" s="7"/>
      <c r="C26" s="7" t="s">
        <v>125</v>
      </c>
      <c r="D26" s="7" t="s">
        <v>126</v>
      </c>
      <c r="E26" s="7" t="s">
        <v>77</v>
      </c>
      <c r="F26" s="7" t="s">
        <v>18</v>
      </c>
      <c r="G26" s="8">
        <v>420333222112</v>
      </c>
      <c r="H26" s="1" t="s">
        <v>161</v>
      </c>
      <c r="I26" s="9">
        <v>31963</v>
      </c>
      <c r="J26" s="9">
        <f t="shared" si="2"/>
        <v>45818</v>
      </c>
      <c r="K26" s="7" t="s">
        <v>188</v>
      </c>
      <c r="L26" s="7"/>
      <c r="M26" t="s">
        <v>127</v>
      </c>
      <c r="N26" s="11">
        <v>49.183239</v>
      </c>
      <c r="O26" s="11">
        <v>15.454273000000001</v>
      </c>
      <c r="P26" s="7"/>
      <c r="Q26" s="7">
        <v>7</v>
      </c>
      <c r="R26" s="7">
        <v>8</v>
      </c>
      <c r="S26" s="7"/>
      <c r="T26" s="26"/>
    </row>
    <row r="27" spans="1:20" x14ac:dyDescent="0.25">
      <c r="A27" s="7" t="s">
        <v>128</v>
      </c>
      <c r="B27" s="7"/>
      <c r="C27" s="7" t="s">
        <v>129</v>
      </c>
      <c r="D27" s="7" t="s">
        <v>130</v>
      </c>
      <c r="E27" s="7" t="s">
        <v>84</v>
      </c>
      <c r="F27" s="7" t="s">
        <v>18</v>
      </c>
      <c r="G27" s="8">
        <v>420888999772</v>
      </c>
      <c r="H27" s="1" t="s">
        <v>179</v>
      </c>
      <c r="I27" s="9">
        <v>35292</v>
      </c>
      <c r="J27" s="9">
        <f t="shared" si="2"/>
        <v>45838</v>
      </c>
      <c r="K27" s="7" t="s">
        <v>189</v>
      </c>
      <c r="L27" s="7"/>
      <c r="M27" s="7" t="s">
        <v>90</v>
      </c>
      <c r="N27" s="11">
        <v>49.952430999999997</v>
      </c>
      <c r="O27" s="11">
        <v>15.268654</v>
      </c>
      <c r="P27" s="7"/>
      <c r="Q27" s="7">
        <v>7</v>
      </c>
      <c r="R27" s="7">
        <v>8</v>
      </c>
      <c r="S27" s="7"/>
      <c r="T27" s="26"/>
    </row>
    <row r="28" spans="1:20" ht="15.75" x14ac:dyDescent="0.25">
      <c r="A28" s="7" t="s">
        <v>131</v>
      </c>
      <c r="B28" s="7"/>
      <c r="C28" s="7" t="s">
        <v>132</v>
      </c>
      <c r="D28" s="7" t="s">
        <v>133</v>
      </c>
      <c r="E28" s="7" t="s">
        <v>91</v>
      </c>
      <c r="F28" s="7" t="s">
        <v>30</v>
      </c>
      <c r="G28" s="8">
        <v>420123987653</v>
      </c>
      <c r="H28" s="1" t="s">
        <v>180</v>
      </c>
      <c r="I28" s="9">
        <v>32761</v>
      </c>
      <c r="J28" s="9">
        <f t="shared" si="2"/>
        <v>45858</v>
      </c>
      <c r="K28" s="7" t="s">
        <v>190</v>
      </c>
      <c r="L28" s="7"/>
      <c r="M28" t="s">
        <v>134</v>
      </c>
      <c r="N28" s="11">
        <v>50.664931000000003</v>
      </c>
      <c r="O28" s="11">
        <v>15.035522</v>
      </c>
      <c r="P28" s="7"/>
      <c r="Q28" s="7">
        <v>6</v>
      </c>
      <c r="R28" s="7">
        <v>9</v>
      </c>
      <c r="S28" s="7"/>
      <c r="T28" s="26"/>
    </row>
    <row r="29" spans="1:20" ht="15.75" x14ac:dyDescent="0.25">
      <c r="A29" s="7" t="s">
        <v>135</v>
      </c>
      <c r="B29" s="7"/>
      <c r="C29" s="21" t="s">
        <v>116</v>
      </c>
      <c r="D29" s="21" t="s">
        <v>113</v>
      </c>
      <c r="E29" s="7" t="s">
        <v>96</v>
      </c>
      <c r="F29" s="7" t="s">
        <v>18</v>
      </c>
      <c r="G29" s="8">
        <v>420111111111</v>
      </c>
      <c r="H29" s="1" t="s">
        <v>181</v>
      </c>
      <c r="I29" s="9">
        <v>28242</v>
      </c>
      <c r="J29" s="9">
        <f t="shared" si="2"/>
        <v>45878</v>
      </c>
      <c r="K29" s="7" t="s">
        <v>194</v>
      </c>
      <c r="L29" s="7"/>
      <c r="M29" t="s">
        <v>57</v>
      </c>
      <c r="N29" s="22">
        <v>50.192196000000003</v>
      </c>
      <c r="O29" s="22">
        <v>15.585616999999999</v>
      </c>
      <c r="P29" s="7" t="s">
        <v>119</v>
      </c>
      <c r="Q29" s="7">
        <v>6</v>
      </c>
      <c r="R29" s="7">
        <v>4</v>
      </c>
      <c r="S29" s="7"/>
      <c r="T29" s="26"/>
    </row>
    <row r="30" spans="1:20" ht="15.75" x14ac:dyDescent="0.25">
      <c r="A30" s="7" t="s">
        <v>136</v>
      </c>
      <c r="B30" s="7"/>
      <c r="C30" s="7" t="s">
        <v>137</v>
      </c>
      <c r="D30" s="7" t="s">
        <v>138</v>
      </c>
      <c r="E30" s="7" t="s">
        <v>100</v>
      </c>
      <c r="F30" s="7" t="s">
        <v>30</v>
      </c>
      <c r="G30" s="8">
        <v>420999111111</v>
      </c>
      <c r="H30" s="1" t="s">
        <v>182</v>
      </c>
      <c r="I30" s="9">
        <v>28242</v>
      </c>
      <c r="J30" s="9">
        <f t="shared" si="2"/>
        <v>45898</v>
      </c>
      <c r="K30" s="7" t="s">
        <v>191</v>
      </c>
      <c r="L30" s="7"/>
      <c r="M30" t="s">
        <v>139</v>
      </c>
      <c r="N30" s="22">
        <v>50.127301000000003</v>
      </c>
      <c r="O30" s="22">
        <v>15.856638999999999</v>
      </c>
      <c r="P30" s="7"/>
      <c r="Q30" s="7">
        <v>3</v>
      </c>
      <c r="R30" s="7">
        <v>1</v>
      </c>
      <c r="S30" s="7"/>
      <c r="T30" s="26"/>
    </row>
    <row r="31" spans="1:20" ht="15.75" x14ac:dyDescent="0.25">
      <c r="A31" s="7" t="s">
        <v>140</v>
      </c>
      <c r="B31" s="7"/>
      <c r="C31" s="7" t="s">
        <v>28</v>
      </c>
      <c r="D31" s="7" t="s">
        <v>29</v>
      </c>
      <c r="E31" s="7" t="s">
        <v>104</v>
      </c>
      <c r="F31" s="7" t="s">
        <v>30</v>
      </c>
      <c r="G31" s="8">
        <v>420999742111</v>
      </c>
      <c r="H31" s="1" t="s">
        <v>183</v>
      </c>
      <c r="I31" s="9">
        <v>28242</v>
      </c>
      <c r="J31" s="9">
        <f t="shared" si="2"/>
        <v>45918</v>
      </c>
      <c r="K31" s="7" t="s">
        <v>192</v>
      </c>
      <c r="L31" s="7"/>
      <c r="M31" t="s">
        <v>141</v>
      </c>
      <c r="N31" s="22">
        <v>50.360615000000003</v>
      </c>
      <c r="O31" s="22">
        <v>14.216366000000001</v>
      </c>
      <c r="P31" s="7"/>
      <c r="Q31" s="7">
        <v>1</v>
      </c>
      <c r="R31" s="7">
        <v>9</v>
      </c>
      <c r="S31" s="7"/>
      <c r="T31" s="26"/>
    </row>
    <row r="32" spans="1:20" ht="15.75" x14ac:dyDescent="0.25">
      <c r="A32" s="7" t="s">
        <v>142</v>
      </c>
      <c r="B32" s="7"/>
      <c r="C32" s="7" t="s">
        <v>143</v>
      </c>
      <c r="D32" s="7" t="s">
        <v>144</v>
      </c>
      <c r="E32" s="7" t="s">
        <v>109</v>
      </c>
      <c r="F32" s="7" t="s">
        <v>18</v>
      </c>
      <c r="G32" s="8">
        <v>420999742131</v>
      </c>
      <c r="H32" s="1" t="s">
        <v>184</v>
      </c>
      <c r="I32" s="9">
        <v>28242</v>
      </c>
      <c r="J32" s="9">
        <f t="shared" si="2"/>
        <v>45938</v>
      </c>
      <c r="K32" s="7" t="s">
        <v>193</v>
      </c>
      <c r="L32" s="7"/>
      <c r="M32" t="s">
        <v>83</v>
      </c>
      <c r="N32" s="22">
        <v>49.399337000000003</v>
      </c>
      <c r="O32" s="22">
        <v>17.674121</v>
      </c>
      <c r="P32" s="17"/>
      <c r="Q32" s="7">
        <v>7</v>
      </c>
      <c r="R32" s="7">
        <v>3</v>
      </c>
      <c r="S32" s="7"/>
      <c r="T32" s="26"/>
    </row>
    <row r="33" spans="1:20" x14ac:dyDescent="0.25">
      <c r="A33" s="7" t="s">
        <v>145</v>
      </c>
      <c r="B33" s="7"/>
      <c r="C33" s="7" t="s">
        <v>146</v>
      </c>
      <c r="D33" s="7" t="s">
        <v>146</v>
      </c>
      <c r="E33" s="7" t="s">
        <v>148</v>
      </c>
      <c r="F33" s="17"/>
      <c r="G33" s="7"/>
      <c r="H33" s="7"/>
      <c r="I33" s="9"/>
      <c r="J33" s="9">
        <f t="shared" si="2"/>
        <v>45958</v>
      </c>
      <c r="K33" s="7"/>
      <c r="L33" s="7"/>
      <c r="M33" s="23" t="s">
        <v>147</v>
      </c>
      <c r="N33" s="7"/>
      <c r="O33" s="7"/>
      <c r="P33" s="7" t="s">
        <v>152</v>
      </c>
      <c r="Q33" s="7">
        <v>2</v>
      </c>
      <c r="R33" s="7">
        <v>3</v>
      </c>
      <c r="S33" s="17"/>
      <c r="T33" s="28"/>
    </row>
    <row r="34" spans="1:20" ht="15.75" x14ac:dyDescent="0.25">
      <c r="R34"/>
    </row>
    <row r="35" spans="1:20" ht="15.75" x14ac:dyDescent="0.25">
      <c r="R35"/>
    </row>
    <row r="36" spans="1:20" ht="15.75" x14ac:dyDescent="0.25">
      <c r="R36"/>
    </row>
  </sheetData>
  <phoneticPr fontId="8" type="noConversion"/>
  <pageMargins left="0.7" right="0.7" top="0.78740157499999996" bottom="0.78740157499999996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06EA-D42B-4DC4-9F77-53F5266F1577}">
  <sheetPr codeName="List2"/>
  <dimension ref="C3:C5"/>
  <sheetViews>
    <sheetView workbookViewId="0">
      <selection activeCell="C6" sqref="C6"/>
    </sheetView>
  </sheetViews>
  <sheetFormatPr defaultRowHeight="15.75" x14ac:dyDescent="0.25"/>
  <cols>
    <col min="3" max="3" width="16.5" customWidth="1"/>
  </cols>
  <sheetData>
    <row r="3" spans="3:3" x14ac:dyDescent="0.25">
      <c r="C3" t="s">
        <v>149</v>
      </c>
    </row>
    <row r="5" spans="3:3" x14ac:dyDescent="0.25">
      <c r="C5" s="24" t="s">
        <v>153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1E78-7A13-423B-A4E5-1A5E0C81744F}">
  <sheetPr codeName="List3"/>
  <dimension ref="B3:E23"/>
  <sheetViews>
    <sheetView workbookViewId="0">
      <selection activeCell="E14" sqref="E14"/>
    </sheetView>
  </sheetViews>
  <sheetFormatPr defaultRowHeight="15.75" x14ac:dyDescent="0.25"/>
  <cols>
    <col min="2" max="2" width="25.875" customWidth="1"/>
    <col min="3" max="3" width="19.875" customWidth="1"/>
    <col min="4" max="4" width="14.25" customWidth="1"/>
    <col min="5" max="5" width="14.75" customWidth="1"/>
  </cols>
  <sheetData>
    <row r="3" spans="2:5" x14ac:dyDescent="0.25">
      <c r="B3" t="s">
        <v>154</v>
      </c>
    </row>
    <row r="9" spans="2:5" x14ac:dyDescent="0.25">
      <c r="B9" s="25" t="s">
        <v>8</v>
      </c>
      <c r="C9" s="25" t="s">
        <v>10</v>
      </c>
      <c r="D9" s="25" t="s">
        <v>11</v>
      </c>
      <c r="E9" s="25" t="s">
        <v>12</v>
      </c>
    </row>
    <row r="10" spans="2:5" x14ac:dyDescent="0.25">
      <c r="B10" s="1" t="s">
        <v>23</v>
      </c>
      <c r="C10" s="14" t="s">
        <v>32</v>
      </c>
      <c r="D10" s="1">
        <v>49.195061000000003</v>
      </c>
      <c r="E10" s="1">
        <v>16.606836000000001</v>
      </c>
    </row>
    <row r="11" spans="2:5" x14ac:dyDescent="0.25">
      <c r="B11" s="1" t="s">
        <v>17</v>
      </c>
      <c r="C11" s="14" t="s">
        <v>36</v>
      </c>
      <c r="D11" s="1">
        <v>50.073658000000002</v>
      </c>
      <c r="E11" s="1">
        <v>14.41854</v>
      </c>
    </row>
    <row r="12" spans="2:5" x14ac:dyDescent="0.25">
      <c r="B12" s="1" t="s">
        <v>43</v>
      </c>
      <c r="C12" s="15" t="s">
        <v>44</v>
      </c>
      <c r="D12" s="1">
        <v>49.820923000000001</v>
      </c>
      <c r="E12" s="1">
        <v>18.262523999999999</v>
      </c>
    </row>
    <row r="13" spans="2:5" x14ac:dyDescent="0.25">
      <c r="B13" s="1" t="s">
        <v>51</v>
      </c>
      <c r="C13" s="15" t="s">
        <v>52</v>
      </c>
      <c r="D13" s="1">
        <v>49.593777000000003</v>
      </c>
      <c r="E13" s="1">
        <v>17.250879000000001</v>
      </c>
    </row>
    <row r="14" spans="2:5" x14ac:dyDescent="0.25">
      <c r="B14" s="1" t="s">
        <v>58</v>
      </c>
      <c r="C14" s="14" t="s">
        <v>59</v>
      </c>
      <c r="D14" s="1">
        <v>49.738430000000001</v>
      </c>
      <c r="E14" s="1">
        <v>13.373637</v>
      </c>
    </row>
    <row r="15" spans="2:5" x14ac:dyDescent="0.25">
      <c r="B15" s="1" t="s">
        <v>63</v>
      </c>
      <c r="C15" s="14" t="s">
        <v>64</v>
      </c>
      <c r="D15" s="1">
        <v>48.975658000000003</v>
      </c>
      <c r="E15" s="1">
        <v>14.480255</v>
      </c>
    </row>
    <row r="16" spans="2:5" x14ac:dyDescent="0.25">
      <c r="B16" s="1" t="s">
        <v>70</v>
      </c>
      <c r="C16" s="14" t="s">
        <v>71</v>
      </c>
      <c r="D16" s="1">
        <v>50.231853000000001</v>
      </c>
      <c r="E16" s="1">
        <v>12.871962</v>
      </c>
    </row>
    <row r="17" spans="2:5" x14ac:dyDescent="0.25">
      <c r="B17" s="1" t="s">
        <v>77</v>
      </c>
      <c r="C17" s="14" t="s">
        <v>78</v>
      </c>
      <c r="D17" s="1">
        <v>49.183239</v>
      </c>
      <c r="E17" s="1">
        <v>15.454273000000001</v>
      </c>
    </row>
    <row r="18" spans="2:5" x14ac:dyDescent="0.25">
      <c r="B18" s="1" t="s">
        <v>84</v>
      </c>
      <c r="C18" s="14" t="s">
        <v>85</v>
      </c>
      <c r="D18" s="1">
        <v>49.952430999999997</v>
      </c>
      <c r="E18" s="1">
        <v>15.268654</v>
      </c>
    </row>
    <row r="19" spans="2:5" x14ac:dyDescent="0.25">
      <c r="B19" s="1" t="s">
        <v>91</v>
      </c>
      <c r="C19" s="14" t="s">
        <v>92</v>
      </c>
      <c r="D19" s="1">
        <v>50.664931000000003</v>
      </c>
      <c r="E19" s="1">
        <v>15.035522</v>
      </c>
    </row>
    <row r="20" spans="2:5" x14ac:dyDescent="0.25">
      <c r="B20" s="19" t="s">
        <v>96</v>
      </c>
      <c r="C20" s="15" t="s">
        <v>97</v>
      </c>
      <c r="D20" s="19">
        <v>50.192196000000003</v>
      </c>
      <c r="E20" s="19">
        <v>15.585616999999999</v>
      </c>
    </row>
    <row r="21" spans="2:5" x14ac:dyDescent="0.25">
      <c r="B21" s="19" t="s">
        <v>100</v>
      </c>
      <c r="C21" s="15" t="s">
        <v>101</v>
      </c>
      <c r="D21" s="19">
        <v>50.127301000000003</v>
      </c>
      <c r="E21" s="19">
        <v>15.856638999999999</v>
      </c>
    </row>
    <row r="22" spans="2:5" x14ac:dyDescent="0.25">
      <c r="B22" s="19" t="s">
        <v>104</v>
      </c>
      <c r="C22" s="15" t="s">
        <v>105</v>
      </c>
      <c r="D22" s="19">
        <v>50.360615000000003</v>
      </c>
      <c r="E22" s="19">
        <v>14.216366000000001</v>
      </c>
    </row>
    <row r="23" spans="2:5" x14ac:dyDescent="0.25">
      <c r="B23" s="19" t="s">
        <v>109</v>
      </c>
      <c r="C23" s="15" t="s">
        <v>110</v>
      </c>
      <c r="D23" s="19">
        <v>49.399337000000003</v>
      </c>
      <c r="E23" s="19">
        <v>17.674121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4BBA-3739-4152-90F3-11567AEE3F18}">
  <sheetPr codeName="List4"/>
  <dimension ref="B3:E23"/>
  <sheetViews>
    <sheetView workbookViewId="0">
      <selection activeCell="B10" sqref="B10:B23"/>
    </sheetView>
  </sheetViews>
  <sheetFormatPr defaultRowHeight="15.75" x14ac:dyDescent="0.25"/>
  <cols>
    <col min="2" max="2" width="25.875" customWidth="1"/>
    <col min="3" max="3" width="19.875" customWidth="1"/>
    <col min="4" max="4" width="14.25" customWidth="1"/>
    <col min="5" max="5" width="14.75" customWidth="1"/>
  </cols>
  <sheetData>
    <row r="3" spans="2:5" x14ac:dyDescent="0.25">
      <c r="B3" t="s">
        <v>155</v>
      </c>
    </row>
    <row r="9" spans="2:5" x14ac:dyDescent="0.25">
      <c r="B9" s="25" t="s">
        <v>8</v>
      </c>
      <c r="C9" s="25" t="s">
        <v>10</v>
      </c>
      <c r="D9" s="25" t="s">
        <v>11</v>
      </c>
      <c r="E9" s="25" t="s">
        <v>12</v>
      </c>
    </row>
    <row r="10" spans="2:5" x14ac:dyDescent="0.25">
      <c r="B10" s="1" t="s">
        <v>23</v>
      </c>
      <c r="C10" s="14" t="s">
        <v>32</v>
      </c>
      <c r="D10" s="1">
        <v>49.195061000000003</v>
      </c>
      <c r="E10" s="1">
        <v>16.606836000000001</v>
      </c>
    </row>
    <row r="11" spans="2:5" x14ac:dyDescent="0.25">
      <c r="B11" s="1" t="s">
        <v>17</v>
      </c>
      <c r="C11" s="14" t="s">
        <v>36</v>
      </c>
      <c r="D11" s="1">
        <v>50.073658000000002</v>
      </c>
      <c r="E11" s="1">
        <v>14.41854</v>
      </c>
    </row>
    <row r="12" spans="2:5" x14ac:dyDescent="0.25">
      <c r="B12" s="1" t="s">
        <v>43</v>
      </c>
      <c r="C12" s="15" t="s">
        <v>44</v>
      </c>
      <c r="D12" s="1">
        <v>49.820923000000001</v>
      </c>
      <c r="E12" s="1">
        <v>18.262523999999999</v>
      </c>
    </row>
    <row r="13" spans="2:5" x14ac:dyDescent="0.25">
      <c r="B13" s="1" t="s">
        <v>51</v>
      </c>
      <c r="C13" s="15" t="s">
        <v>52</v>
      </c>
      <c r="D13" s="1">
        <v>49.593777000000003</v>
      </c>
      <c r="E13" s="1">
        <v>17.250879000000001</v>
      </c>
    </row>
    <row r="14" spans="2:5" x14ac:dyDescent="0.25">
      <c r="B14" s="1" t="s">
        <v>58</v>
      </c>
      <c r="C14" s="14" t="s">
        <v>59</v>
      </c>
      <c r="D14" s="1">
        <v>49.738430000000001</v>
      </c>
      <c r="E14" s="1">
        <v>13.373637</v>
      </c>
    </row>
    <row r="15" spans="2:5" x14ac:dyDescent="0.25">
      <c r="B15" s="1" t="s">
        <v>63</v>
      </c>
      <c r="C15" s="14" t="s">
        <v>64</v>
      </c>
      <c r="D15" s="1">
        <v>48.975658000000003</v>
      </c>
      <c r="E15" s="1">
        <v>14.480255</v>
      </c>
    </row>
    <row r="16" spans="2:5" x14ac:dyDescent="0.25">
      <c r="B16" s="1" t="s">
        <v>70</v>
      </c>
      <c r="C16" s="14" t="s">
        <v>71</v>
      </c>
      <c r="D16" s="1">
        <v>50.231853000000001</v>
      </c>
      <c r="E16" s="1">
        <v>12.871962</v>
      </c>
    </row>
    <row r="17" spans="2:5" x14ac:dyDescent="0.25">
      <c r="B17" s="1" t="s">
        <v>77</v>
      </c>
      <c r="C17" s="14" t="s">
        <v>78</v>
      </c>
      <c r="D17" s="1">
        <v>49.183239</v>
      </c>
      <c r="E17" s="1">
        <v>15.454273000000001</v>
      </c>
    </row>
    <row r="18" spans="2:5" x14ac:dyDescent="0.25">
      <c r="B18" s="1" t="s">
        <v>84</v>
      </c>
      <c r="C18" s="14" t="s">
        <v>85</v>
      </c>
      <c r="D18" s="1">
        <v>49.952430999999997</v>
      </c>
      <c r="E18" s="1">
        <v>15.268654</v>
      </c>
    </row>
    <row r="19" spans="2:5" x14ac:dyDescent="0.25">
      <c r="B19" s="1" t="s">
        <v>91</v>
      </c>
      <c r="C19" s="14" t="s">
        <v>92</v>
      </c>
      <c r="D19" s="1">
        <v>50.664931000000003</v>
      </c>
      <c r="E19" s="1">
        <v>15.035522</v>
      </c>
    </row>
    <row r="20" spans="2:5" x14ac:dyDescent="0.25">
      <c r="B20" s="19" t="s">
        <v>96</v>
      </c>
      <c r="C20" s="15" t="s">
        <v>97</v>
      </c>
      <c r="D20" s="19">
        <v>50.192196000000003</v>
      </c>
      <c r="E20" s="19">
        <v>15.585616999999999</v>
      </c>
    </row>
    <row r="21" spans="2:5" x14ac:dyDescent="0.25">
      <c r="B21" s="19" t="s">
        <v>100</v>
      </c>
      <c r="C21" s="15" t="s">
        <v>101</v>
      </c>
      <c r="D21" s="19">
        <v>50.127301000000003</v>
      </c>
      <c r="E21" s="19">
        <v>15.856638999999999</v>
      </c>
    </row>
    <row r="22" spans="2:5" x14ac:dyDescent="0.25">
      <c r="B22" s="19" t="s">
        <v>104</v>
      </c>
      <c r="C22" s="15" t="s">
        <v>105</v>
      </c>
      <c r="D22" s="19">
        <v>50.360615000000003</v>
      </c>
      <c r="E22" s="19">
        <v>14.216366000000001</v>
      </c>
    </row>
    <row r="23" spans="2:5" x14ac:dyDescent="0.25">
      <c r="B23" s="19" t="s">
        <v>109</v>
      </c>
      <c r="C23" s="15" t="s">
        <v>110</v>
      </c>
      <c r="D23" s="19">
        <v>49.399337000000003</v>
      </c>
      <c r="E23" s="19">
        <v>17.674121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6</vt:i4>
      </vt:variant>
    </vt:vector>
  </HeadingPairs>
  <TitlesOfParts>
    <vt:vector size="9" baseType="lpstr">
      <vt:lpstr>Zákaznici_</vt:lpstr>
      <vt:lpstr>Další list viditelný</vt:lpstr>
      <vt:lpstr>Skrytý list</vt:lpstr>
      <vt:lpstr>DefinNazevSkrytyList</vt:lpstr>
      <vt:lpstr>DefinNazevSuperSkrytyList</vt:lpstr>
      <vt:lpstr>Pavel_Lasák</vt:lpstr>
      <vt:lpstr>'Super skrytý list'!Tabulka_skryty_list</vt:lpstr>
      <vt:lpstr>Tabulka_skryty_list</vt:lpstr>
      <vt:lpstr>Tabulka_super_skryty_list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dcterms:created xsi:type="dcterms:W3CDTF">2025-09-22T17:31:42Z</dcterms:created>
  <dcterms:modified xsi:type="dcterms:W3CDTF">2026-01-13T14:20:47Z</dcterms:modified>
</cp:coreProperties>
</file>